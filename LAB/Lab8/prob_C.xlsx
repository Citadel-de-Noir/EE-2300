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SU_Files\ISU_Files\SPRING_2026\EE 2300\LAB\Lab8\"/>
    </mc:Choice>
  </mc:AlternateContent>
  <xr:revisionPtr revIDLastSave="0" documentId="13_ncr:1_{C63F22E0-F510-40AD-AD79-EF24ACDD976D}" xr6:coauthVersionLast="47" xr6:coauthVersionMax="47" xr10:uidLastSave="{00000000-0000-0000-0000-000000000000}"/>
  <bookViews>
    <workbookView xWindow="-120" yWindow="-120" windowWidth="29040" windowHeight="15720" xr2:uid="{6A15866E-6FAD-4143-A6BA-313C75EB38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E2" i="1" s="1"/>
  <c r="D2" i="1" a="1"/>
  <c r="D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<sst xmlns="http://schemas.openxmlformats.org/spreadsheetml/2006/main" count="8" uniqueCount="6">
  <si>
    <t>Vi</t>
  </si>
  <si>
    <t>Vo</t>
  </si>
  <si>
    <t>ic</t>
  </si>
  <si>
    <t>Pr</t>
  </si>
  <si>
    <t>Pnpn</t>
  </si>
  <si>
    <t>Vce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</si>
</sst>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 vs Pnpn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Pnpn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Sheet1!$D$2:$D$26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9.7658879999999989E-8</c:v>
                </c:pt>
                <c:pt idx="3">
                  <c:v>3.7255679999999996E-4</c:v>
                </c:pt>
                <c:pt idx="4">
                  <c:v>2.4236816999999998E-3</c:v>
                </c:pt>
                <c:pt idx="5">
                  <c:v>6.4679999999999998E-3</c:v>
                </c:pt>
                <c:pt idx="6">
                  <c:v>1.216512E-2</c:v>
                </c:pt>
                <c:pt idx="7">
                  <c:v>1.9646879999999999E-2</c:v>
                </c:pt>
                <c:pt idx="8">
                  <c:v>2.8330169999999998E-2</c:v>
                </c:pt>
                <c:pt idx="9">
                  <c:v>2.8913279999999996E-2</c:v>
                </c:pt>
                <c:pt idx="10">
                  <c:v>2.9108970000000001E-2</c:v>
                </c:pt>
                <c:pt idx="11">
                  <c:v>2.9305320000000003E-2</c:v>
                </c:pt>
                <c:pt idx="12">
                  <c:v>2.9305320000000003E-2</c:v>
                </c:pt>
                <c:pt idx="13">
                  <c:v>2.9305320000000003E-2</c:v>
                </c:pt>
                <c:pt idx="14">
                  <c:v>2.9305320000000003E-2</c:v>
                </c:pt>
                <c:pt idx="15">
                  <c:v>2.9305320000000003E-2</c:v>
                </c:pt>
                <c:pt idx="16">
                  <c:v>2.9502330000000004E-2</c:v>
                </c:pt>
                <c:pt idx="17">
                  <c:v>2.9502330000000004E-2</c:v>
                </c:pt>
                <c:pt idx="18">
                  <c:v>2.9502330000000004E-2</c:v>
                </c:pt>
                <c:pt idx="19">
                  <c:v>2.9502330000000004E-2</c:v>
                </c:pt>
                <c:pt idx="20">
                  <c:v>2.9502330000000004E-2</c:v>
                </c:pt>
                <c:pt idx="21">
                  <c:v>2.9502330000000004E-2</c:v>
                </c:pt>
                <c:pt idx="22">
                  <c:v>2.9502330000000004E-2</c:v>
                </c:pt>
                <c:pt idx="23">
                  <c:v>2.9502330000000004E-2</c:v>
                </c:pt>
                <c:pt idx="24">
                  <c:v>2.9700000000000001E-2</c:v>
                </c:pt>
              </c:numCache>
            </c:numRef>
          </c:xVal>
          <c:yVal>
            <c:numRef>
              <c:f>Sheet1!$E$2:$E$26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5.3856000000000001E-5</c:v>
                </c:pt>
                <c:pt idx="3">
                  <c:v>2.9836800000000003E-3</c:v>
                </c:pt>
                <c:pt idx="4">
                  <c:v>6.0847000000000002E-3</c:v>
                </c:pt>
                <c:pt idx="5">
                  <c:v>7.5600000000000007E-3</c:v>
                </c:pt>
                <c:pt idx="6">
                  <c:v>7.0080000000000003E-3</c:v>
                </c:pt>
                <c:pt idx="7">
                  <c:v>4.9287999999999997E-3</c:v>
                </c:pt>
                <c:pt idx="8">
                  <c:v>9.9327000000000009E-4</c:v>
                </c:pt>
                <c:pt idx="9">
                  <c:v>5.9496000000000006E-4</c:v>
                </c:pt>
                <c:pt idx="10">
                  <c:v>5.2271999999999996E-4</c:v>
                </c:pt>
                <c:pt idx="11">
                  <c:v>4.8275999999999999E-4</c:v>
                </c:pt>
                <c:pt idx="12">
                  <c:v>4.5295999999999997E-4</c:v>
                </c:pt>
                <c:pt idx="13">
                  <c:v>4.1720000000000006E-4</c:v>
                </c:pt>
                <c:pt idx="14">
                  <c:v>4.1124000000000005E-4</c:v>
                </c:pt>
                <c:pt idx="15">
                  <c:v>3.9634000000000002E-4</c:v>
                </c:pt>
                <c:pt idx="16">
                  <c:v>3.8272000000000002E-4</c:v>
                </c:pt>
                <c:pt idx="17">
                  <c:v>3.7075999999999998E-4</c:v>
                </c:pt>
                <c:pt idx="18">
                  <c:v>3.5879999999999999E-4</c:v>
                </c:pt>
                <c:pt idx="19">
                  <c:v>3.4983000000000003E-4</c:v>
                </c:pt>
                <c:pt idx="20">
                  <c:v>3.4086000000000001E-4</c:v>
                </c:pt>
                <c:pt idx="21">
                  <c:v>3.3488000000000002E-4</c:v>
                </c:pt>
                <c:pt idx="22">
                  <c:v>3.2591E-4</c:v>
                </c:pt>
                <c:pt idx="23">
                  <c:v>3.1993000000000001E-4</c:v>
                </c:pt>
                <c:pt idx="24">
                  <c:v>3.1500000000000001E-4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1D-4FC8-B0FB-BAD668D76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008927"/>
        <c:axId val="443007487"/>
      </c:scatterChart>
      <c:valAx>
        <c:axId val="44300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007487"/>
        <c:crosses val="autoZero"/>
        <c:crossBetween val="midCat"/>
      </c:valAx>
      <c:valAx>
        <c:axId val="44300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00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</xdr:colOff>
      <xdr:row>1</xdr:row>
      <xdr:rowOff>180975</xdr:rowOff>
    </xdr:from>
    <xdr:to>
      <xdr:col>8</xdr:col>
      <xdr:colOff>495300</xdr:colOff>
      <xdr:row>25</xdr:row>
      <xdr:rowOff>128587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253B2DB-A778-E45A-1CAB-DE6689C566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5B907-344A-4A27-8266-1902AB448B6F}">
  <dimension ref="A1:I26"/>
  <sheetViews>
    <sheetView tabSelected="1" workbookViewId="0">
      <selection activeCell="D1" sqref="D1:E26"/>
    </sheetView>
  </sheetViews>
  <sheetFormatPr defaultRowHeight="15" x14ac:dyDescent="0.25"/>
  <cols>
    <col min="1" max="1" width="17.28515625" customWidth="1"/>
    <col min="2" max="2" width="19.28515625" customWidth="1"/>
    <col min="3" max="3" width="20.140625" customWidth="1"/>
    <col min="4" max="4" width="22.28515625" customWidth="1"/>
    <col min="5" max="5" width="25.28515625" customWidth="1"/>
    <col min="6" max="6" width="21.28515625" customWidth="1"/>
    <col min="7" max="7" width="32.5703125" customWidth="1"/>
  </cols>
  <sheetData>
    <row r="1" spans="1:9" x14ac:dyDescent="0.25">
      <c r="A1" t="s">
        <v>0</v>
      </c>
      <c r="C1" t="s">
        <v>2</v>
      </c>
      <c r="D1" t="s">
        <v>3</v>
      </c>
      <c r="E1" t="s">
        <v>4</v>
      </c>
      <c r="F1" t="s">
        <v>1</v>
      </c>
      <c r="G1" t="s">
        <v>5</v>
      </c>
      <c r="H1" t="s">
        <v>2</v>
      </c>
      <c r="I1" t="s">
        <v>0</v>
      </c>
    </row>
    <row r="2" spans="1:9" x14ac:dyDescent="0.25">
      <c r="A2">
        <v>0</v>
      </c>
      <c r="C2">
        <v>0</v>
      </c>
      <c r="D2" cm="1">
        <f t="array" ref="D2:D26">((H2:H26)^2)*3300</f>
        <v>0</v>
      </c>
      <c r="E2" cm="1">
        <f t="array" ref="E2:E26">(C2:C26)*(G2:G26)</f>
        <v>0</v>
      </c>
      <c r="F2">
        <v>9.99</v>
      </c>
      <c r="G2">
        <v>9.9</v>
      </c>
      <c r="H2">
        <v>0</v>
      </c>
      <c r="I2">
        <v>0</v>
      </c>
    </row>
    <row r="3" spans="1:9" x14ac:dyDescent="0.25">
      <c r="A3">
        <v>0.25</v>
      </c>
      <c r="C3">
        <v>0</v>
      </c>
      <c r="D3">
        <v>0</v>
      </c>
      <c r="E3">
        <v>0</v>
      </c>
      <c r="F3">
        <v>9.99</v>
      </c>
      <c r="G3">
        <v>9.9</v>
      </c>
      <c r="H3">
        <v>0</v>
      </c>
      <c r="I3">
        <v>0.25</v>
      </c>
    </row>
    <row r="4" spans="1:9" x14ac:dyDescent="0.25">
      <c r="A4">
        <v>0.5</v>
      </c>
      <c r="C4" s="1">
        <v>5.4399999999999996E-6</v>
      </c>
      <c r="D4">
        <v>9.7658879999999989E-8</v>
      </c>
      <c r="E4">
        <v>5.3856000000000001E-5</v>
      </c>
      <c r="F4">
        <v>9.9700000000000006</v>
      </c>
      <c r="G4">
        <v>9.9</v>
      </c>
      <c r="H4" s="1">
        <v>5.4399999999999996E-6</v>
      </c>
      <c r="I4">
        <v>0.5</v>
      </c>
    </row>
    <row r="5" spans="1:9" x14ac:dyDescent="0.25">
      <c r="A5">
        <v>0.75</v>
      </c>
      <c r="C5" s="1">
        <v>3.3599999999999998E-4</v>
      </c>
      <c r="D5">
        <v>3.7255679999999996E-4</v>
      </c>
      <c r="E5">
        <v>2.9836800000000003E-3</v>
      </c>
      <c r="F5">
        <v>8.8800000000000008</v>
      </c>
      <c r="G5">
        <v>8.8800000000000008</v>
      </c>
      <c r="H5" s="1">
        <v>3.3599999999999998E-4</v>
      </c>
      <c r="I5">
        <v>0.75</v>
      </c>
    </row>
    <row r="6" spans="1:9" x14ac:dyDescent="0.25">
      <c r="A6">
        <v>1</v>
      </c>
      <c r="C6" s="1">
        <v>8.5700000000000001E-4</v>
      </c>
      <c r="D6">
        <v>2.4236816999999998E-3</v>
      </c>
      <c r="E6">
        <v>6.0847000000000002E-3</v>
      </c>
      <c r="F6">
        <v>7.17</v>
      </c>
      <c r="G6">
        <v>7.1</v>
      </c>
      <c r="H6" s="1">
        <v>8.5700000000000001E-4</v>
      </c>
      <c r="I6">
        <v>1</v>
      </c>
    </row>
    <row r="7" spans="1:9" x14ac:dyDescent="0.25">
      <c r="A7">
        <v>1.25</v>
      </c>
      <c r="C7" s="1">
        <v>1.4E-3</v>
      </c>
      <c r="D7">
        <v>6.4679999999999998E-3</v>
      </c>
      <c r="E7">
        <v>7.5600000000000007E-3</v>
      </c>
      <c r="F7">
        <v>5.39</v>
      </c>
      <c r="G7">
        <v>5.4</v>
      </c>
      <c r="H7" s="1">
        <v>1.4E-3</v>
      </c>
      <c r="I7">
        <v>1.25</v>
      </c>
    </row>
    <row r="8" spans="1:9" x14ac:dyDescent="0.25">
      <c r="A8">
        <v>1.5</v>
      </c>
      <c r="C8" s="1">
        <v>1.92E-3</v>
      </c>
      <c r="D8">
        <v>1.216512E-2</v>
      </c>
      <c r="E8">
        <v>7.0080000000000003E-3</v>
      </c>
      <c r="F8">
        <v>3.63</v>
      </c>
      <c r="G8">
        <v>3.65</v>
      </c>
      <c r="H8" s="1">
        <v>1.92E-3</v>
      </c>
      <c r="I8">
        <v>1.5</v>
      </c>
    </row>
    <row r="9" spans="1:9" x14ac:dyDescent="0.25">
      <c r="A9">
        <v>1.75</v>
      </c>
      <c r="C9" s="1">
        <v>2.4399999999999999E-3</v>
      </c>
      <c r="D9">
        <v>1.9646879999999999E-2</v>
      </c>
      <c r="E9">
        <v>4.9287999999999997E-3</v>
      </c>
      <c r="F9">
        <v>1.91</v>
      </c>
      <c r="G9">
        <v>2.02</v>
      </c>
      <c r="H9" s="1">
        <v>2.4399999999999999E-3</v>
      </c>
      <c r="I9">
        <v>1.75</v>
      </c>
    </row>
    <row r="10" spans="1:9" x14ac:dyDescent="0.25">
      <c r="A10">
        <v>2</v>
      </c>
      <c r="C10" s="1">
        <v>2.9299999999999999E-3</v>
      </c>
      <c r="D10">
        <v>2.8330169999999998E-2</v>
      </c>
      <c r="E10">
        <v>9.9327000000000009E-4</v>
      </c>
      <c r="F10">
        <v>0.33</v>
      </c>
      <c r="G10">
        <v>0.33900000000000002</v>
      </c>
      <c r="H10" s="1">
        <v>2.9299999999999999E-3</v>
      </c>
      <c r="I10">
        <v>2</v>
      </c>
    </row>
    <row r="11" spans="1:9" x14ac:dyDescent="0.25">
      <c r="A11">
        <v>2.25</v>
      </c>
      <c r="C11" s="1">
        <v>2.96E-3</v>
      </c>
      <c r="D11">
        <v>2.8913279999999996E-2</v>
      </c>
      <c r="E11">
        <v>5.9496000000000006E-4</v>
      </c>
      <c r="F11">
        <v>0.2</v>
      </c>
      <c r="G11">
        <v>0.20100000000000001</v>
      </c>
      <c r="H11" s="1">
        <v>2.96E-3</v>
      </c>
      <c r="I11">
        <v>2.25</v>
      </c>
    </row>
    <row r="12" spans="1:9" x14ac:dyDescent="0.25">
      <c r="A12">
        <v>2.5</v>
      </c>
      <c r="C12" s="1">
        <v>2.97E-3</v>
      </c>
      <c r="D12">
        <v>2.9108970000000001E-2</v>
      </c>
      <c r="E12">
        <v>5.2271999999999996E-4</v>
      </c>
      <c r="F12">
        <v>0.17</v>
      </c>
      <c r="G12">
        <v>0.17599999999999999</v>
      </c>
      <c r="H12" s="1">
        <v>2.97E-3</v>
      </c>
      <c r="I12">
        <v>2.5</v>
      </c>
    </row>
    <row r="13" spans="1:9" x14ac:dyDescent="0.25">
      <c r="A13">
        <v>2.75</v>
      </c>
      <c r="C13" s="1">
        <v>2.98E-3</v>
      </c>
      <c r="D13">
        <v>2.9305320000000003E-2</v>
      </c>
      <c r="E13">
        <v>4.8275999999999999E-4</v>
      </c>
      <c r="F13">
        <v>0.16</v>
      </c>
      <c r="G13">
        <v>0.16200000000000001</v>
      </c>
      <c r="H13" s="1">
        <v>2.98E-3</v>
      </c>
      <c r="I13">
        <v>2.75</v>
      </c>
    </row>
    <row r="14" spans="1:9" x14ac:dyDescent="0.25">
      <c r="A14">
        <v>3</v>
      </c>
      <c r="C14" s="1">
        <v>2.98E-3</v>
      </c>
      <c r="D14">
        <v>2.9305320000000003E-2</v>
      </c>
      <c r="E14">
        <v>4.5295999999999997E-4</v>
      </c>
      <c r="F14">
        <v>0.15</v>
      </c>
      <c r="G14">
        <v>0.152</v>
      </c>
      <c r="H14" s="1">
        <v>2.98E-3</v>
      </c>
      <c r="I14">
        <v>3</v>
      </c>
    </row>
    <row r="15" spans="1:9" x14ac:dyDescent="0.25">
      <c r="A15">
        <v>3.25</v>
      </c>
      <c r="C15" s="1">
        <v>2.98E-3</v>
      </c>
      <c r="D15">
        <v>2.9305320000000003E-2</v>
      </c>
      <c r="E15">
        <v>4.1720000000000006E-4</v>
      </c>
      <c r="F15">
        <v>0.14000000000000001</v>
      </c>
      <c r="G15">
        <v>0.14000000000000001</v>
      </c>
      <c r="H15" s="1">
        <v>2.98E-3</v>
      </c>
      <c r="I15">
        <v>3.25</v>
      </c>
    </row>
    <row r="16" spans="1:9" x14ac:dyDescent="0.25">
      <c r="A16">
        <v>3.5</v>
      </c>
      <c r="C16" s="1">
        <v>2.98E-3</v>
      </c>
      <c r="D16">
        <v>2.9305320000000003E-2</v>
      </c>
      <c r="E16">
        <v>4.1124000000000005E-4</v>
      </c>
      <c r="F16">
        <v>0.13800000000000001</v>
      </c>
      <c r="G16">
        <v>0.13800000000000001</v>
      </c>
      <c r="H16" s="1">
        <v>2.98E-3</v>
      </c>
      <c r="I16">
        <v>3.5</v>
      </c>
    </row>
    <row r="17" spans="1:9" x14ac:dyDescent="0.25">
      <c r="A17">
        <v>3.75</v>
      </c>
      <c r="C17" s="1">
        <v>2.98E-3</v>
      </c>
      <c r="D17">
        <v>2.9305320000000003E-2</v>
      </c>
      <c r="E17">
        <v>3.9634000000000002E-4</v>
      </c>
      <c r="F17">
        <v>0.13300000000000001</v>
      </c>
      <c r="G17">
        <v>0.13300000000000001</v>
      </c>
      <c r="H17" s="1">
        <v>2.98E-3</v>
      </c>
      <c r="I17">
        <v>3.75</v>
      </c>
    </row>
    <row r="18" spans="1:9" x14ac:dyDescent="0.25">
      <c r="A18">
        <v>4</v>
      </c>
      <c r="C18" s="1">
        <v>2.99E-3</v>
      </c>
      <c r="D18">
        <v>2.9502330000000004E-2</v>
      </c>
      <c r="E18">
        <v>3.8272000000000002E-4</v>
      </c>
      <c r="F18">
        <v>0.128</v>
      </c>
      <c r="G18">
        <v>0.128</v>
      </c>
      <c r="H18" s="1">
        <v>2.99E-3</v>
      </c>
      <c r="I18">
        <v>4</v>
      </c>
    </row>
    <row r="19" spans="1:9" x14ac:dyDescent="0.25">
      <c r="A19">
        <v>4.25</v>
      </c>
      <c r="C19" s="1">
        <v>2.99E-3</v>
      </c>
      <c r="D19">
        <v>2.9502330000000004E-2</v>
      </c>
      <c r="E19">
        <v>3.7075999999999998E-4</v>
      </c>
      <c r="F19">
        <v>0.124</v>
      </c>
      <c r="G19">
        <v>0.124</v>
      </c>
      <c r="H19" s="1">
        <v>2.99E-3</v>
      </c>
      <c r="I19">
        <v>4.25</v>
      </c>
    </row>
    <row r="20" spans="1:9" x14ac:dyDescent="0.25">
      <c r="A20">
        <v>4.5</v>
      </c>
      <c r="C20" s="1">
        <v>2.99E-3</v>
      </c>
      <c r="D20">
        <v>2.9502330000000004E-2</v>
      </c>
      <c r="E20">
        <v>3.5879999999999999E-4</v>
      </c>
      <c r="F20">
        <v>0.121</v>
      </c>
      <c r="G20">
        <v>0.12</v>
      </c>
      <c r="H20" s="1">
        <v>2.99E-3</v>
      </c>
      <c r="I20">
        <v>4.5</v>
      </c>
    </row>
    <row r="21" spans="1:9" x14ac:dyDescent="0.25">
      <c r="A21">
        <v>4.75</v>
      </c>
      <c r="C21" s="1">
        <v>2.99E-3</v>
      </c>
      <c r="D21">
        <v>2.9502330000000004E-2</v>
      </c>
      <c r="E21">
        <v>3.4983000000000003E-4</v>
      </c>
      <c r="F21">
        <v>0.11799999999999999</v>
      </c>
      <c r="G21">
        <v>0.11700000000000001</v>
      </c>
      <c r="H21" s="1">
        <v>2.99E-3</v>
      </c>
      <c r="I21">
        <v>4.75</v>
      </c>
    </row>
    <row r="22" spans="1:9" x14ac:dyDescent="0.25">
      <c r="A22">
        <v>5</v>
      </c>
      <c r="C22" s="1">
        <v>2.99E-3</v>
      </c>
      <c r="D22">
        <v>2.9502330000000004E-2</v>
      </c>
      <c r="E22">
        <v>3.4086000000000001E-4</v>
      </c>
      <c r="F22">
        <v>0.114</v>
      </c>
      <c r="G22">
        <v>0.114</v>
      </c>
      <c r="H22" s="1">
        <v>2.99E-3</v>
      </c>
      <c r="I22">
        <v>5</v>
      </c>
    </row>
    <row r="23" spans="1:9" x14ac:dyDescent="0.25">
      <c r="A23">
        <v>5.25</v>
      </c>
      <c r="C23" s="1">
        <v>2.99E-3</v>
      </c>
      <c r="D23">
        <v>2.9502330000000004E-2</v>
      </c>
      <c r="E23">
        <v>3.3488000000000002E-4</v>
      </c>
      <c r="F23">
        <v>0.112</v>
      </c>
      <c r="G23">
        <v>0.112</v>
      </c>
      <c r="H23" s="1">
        <v>2.99E-3</v>
      </c>
      <c r="I23">
        <v>5.25</v>
      </c>
    </row>
    <row r="24" spans="1:9" x14ac:dyDescent="0.25">
      <c r="A24">
        <v>5.5</v>
      </c>
      <c r="C24" s="1">
        <v>2.99E-3</v>
      </c>
      <c r="D24">
        <v>2.9502330000000004E-2</v>
      </c>
      <c r="E24">
        <v>3.2591E-4</v>
      </c>
      <c r="F24">
        <v>0.109</v>
      </c>
      <c r="G24">
        <v>0.109</v>
      </c>
      <c r="H24" s="1">
        <v>2.99E-3</v>
      </c>
      <c r="I24">
        <v>5.5</v>
      </c>
    </row>
    <row r="25" spans="1:9" x14ac:dyDescent="0.25">
      <c r="A25">
        <v>5.75</v>
      </c>
      <c r="C25" s="1">
        <v>2.99E-3</v>
      </c>
      <c r="D25">
        <v>2.9502330000000004E-2</v>
      </c>
      <c r="E25">
        <v>3.1993000000000001E-4</v>
      </c>
      <c r="F25">
        <v>0.107</v>
      </c>
      <c r="G25">
        <v>0.107</v>
      </c>
      <c r="H25" s="1">
        <v>2.99E-3</v>
      </c>
      <c r="I25">
        <v>5.75</v>
      </c>
    </row>
    <row r="26" spans="1:9" x14ac:dyDescent="0.25">
      <c r="A26">
        <v>6</v>
      </c>
      <c r="C26" s="1">
        <v>3.0000000000000001E-3</v>
      </c>
      <c r="D26">
        <v>2.9700000000000001E-2</v>
      </c>
      <c r="E26">
        <v>3.1500000000000001E-4</v>
      </c>
      <c r="F26">
        <v>0.105</v>
      </c>
      <c r="G26">
        <v>0.105</v>
      </c>
      <c r="H26" s="1">
        <v>3.0000000000000001E-3</v>
      </c>
      <c r="I26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Iowa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Saha, Sayon</dc:creator>
  <cp:lastModifiedBy>Saha, Sayon</cp:lastModifiedBy>
  <dcterms:created xsi:type="dcterms:W3CDTF">2026-04-21T23:19:04Z</dcterms:created>
  <dcterms:modified xsi:type="dcterms:W3CDTF">2026-04-26T09:21:41Z</dcterms:modified>
</cp:coreProperties>
</file>